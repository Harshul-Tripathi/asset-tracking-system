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Template" sheetId="1" r:id="rId4"/>
  </sheets>
  <definedNames/>
  <calcPr/>
  <extLst>
    <ext uri="GoogleSheetsCustomDataVersion2">
      <go:sheetsCustomData xmlns:go="http://customooxmlschemas.google.com/" r:id="rId5" roundtripDataChecksum="6q1E5OZYuPKT6ymLhSkaXeH8GbG38qiHKlo/rhXep3w="/>
    </ext>
  </extLst>
</workbook>
</file>

<file path=xl/sharedStrings.xml><?xml version="1.0" encoding="utf-8"?>
<sst xmlns="http://schemas.openxmlformats.org/spreadsheetml/2006/main" count="225" uniqueCount="175">
  <si>
    <t>Item No.</t>
  </si>
  <si>
    <t>Category</t>
  </si>
  <si>
    <t>Component Name</t>
  </si>
  <si>
    <t>Description / Specification</t>
  </si>
  <si>
    <t>Manufacturer</t>
  </si>
  <si>
    <t>Manufacturer Part Number (MPN)</t>
  </si>
  <si>
    <t>Package / Size (in for :)</t>
  </si>
  <si>
    <t>Quantity</t>
  </si>
  <si>
    <t>Unit Price(INR)</t>
  </si>
  <si>
    <t>Total Price</t>
  </si>
  <si>
    <t>Supplier</t>
  </si>
  <si>
    <t>Supplier Part Number</t>
  </si>
  <si>
    <t>Link</t>
  </si>
  <si>
    <t>Notes</t>
  </si>
  <si>
    <t>MCU</t>
  </si>
  <si>
    <t>STM32WBA5MMG module</t>
  </si>
  <si>
    <t>STM32WBA55 mcu + BL antenna</t>
  </si>
  <si>
    <t>STMicroelectronics</t>
  </si>
  <si>
    <t>STM32WBA5MMGH6TR</t>
  </si>
  <si>
    <t>SIP-LGA76_STM</t>
  </si>
  <si>
    <t xml:space="preserve">- </t>
  </si>
  <si>
    <t>-</t>
  </si>
  <si>
    <t>nucleo-wba5mmg</t>
  </si>
  <si>
    <t>UWB Module</t>
  </si>
  <si>
    <t>DWM Module</t>
  </si>
  <si>
    <t>DWM3000TR13</t>
  </si>
  <si>
    <t>Qorvo</t>
  </si>
  <si>
    <t>DW3110 IC</t>
  </si>
  <si>
    <t>24-SMD Module</t>
  </si>
  <si>
    <t>Digikey</t>
  </si>
  <si>
    <t>2312-DWM3000TR13CT-ND - Cut Tape (CT)</t>
  </si>
  <si>
    <t>dwm3000TR13</t>
  </si>
  <si>
    <t>Capacitors(MLCC)</t>
  </si>
  <si>
    <t>47uF Cap</t>
  </si>
  <si>
    <t>25VDC 47uF</t>
  </si>
  <si>
    <t>TDK</t>
  </si>
  <si>
    <t>C3216X5R1E476M160AC</t>
  </si>
  <si>
    <t>:1206</t>
  </si>
  <si>
    <t>445-8047-1-ND - Cut Tape (CT)</t>
  </si>
  <si>
    <t>47uF</t>
  </si>
  <si>
    <t>22uF Cap</t>
  </si>
  <si>
    <t>25VDC 22uF</t>
  </si>
  <si>
    <r>
      <rPr>
        <rFont val="Roboto, &quot;Noto Sans&quot;, Arial, Helvetica, sans-serif, dk"/>
        <color rgb="FF1155CC"/>
        <sz val="9.0"/>
        <u/>
      </rPr>
      <t>Samsung Electro-Mechanic</t>
    </r>
    <r>
      <rPr>
        <rFont val="Roboto, &quot;Noto Sans&quot;, Arial, Helvetica, sans-serif, dk"/>
        <sz val="9.0"/>
      </rPr>
      <t>s</t>
    </r>
  </si>
  <si>
    <t>CL21A226MAYNNWE</t>
  </si>
  <si>
    <t>:0805</t>
  </si>
  <si>
    <t>1276-CL21A226MAYNNWETR-ND - Tape &amp; Reel (TR)</t>
  </si>
  <si>
    <t>22uF</t>
  </si>
  <si>
    <t>0.47uF cap</t>
  </si>
  <si>
    <t>CAP CER 0.47UF 16V X5R 0201</t>
  </si>
  <si>
    <t>TAIYO YUDEN</t>
  </si>
  <si>
    <t>EMK063BBJ474KPLF</t>
  </si>
  <si>
    <t>:0201</t>
  </si>
  <si>
    <t>587-6264-2-ND - Tape &amp; Reel (TR)</t>
  </si>
  <si>
    <t>0.47uF</t>
  </si>
  <si>
    <t>0.22uF cap</t>
  </si>
  <si>
    <t>25VDC 0.22uF</t>
  </si>
  <si>
    <t>Murata</t>
  </si>
  <si>
    <t>GRM033R61E224KE01D</t>
  </si>
  <si>
    <t>490-GRM033R61E224KE01DTR-ND - Tape &amp; Reel (TR)</t>
  </si>
  <si>
    <t>0.22uF</t>
  </si>
  <si>
    <t>10uF cap</t>
  </si>
  <si>
    <t>25VDC 10uF</t>
  </si>
  <si>
    <t>GRM188R61E106KA73D</t>
  </si>
  <si>
    <t>:0603</t>
  </si>
  <si>
    <t>490-18214-2-ND - Tape &amp; Reel (TR)</t>
  </si>
  <si>
    <t>10uF</t>
  </si>
  <si>
    <t>Buck-Boost regulator</t>
  </si>
  <si>
    <t>TPS63900</t>
  </si>
  <si>
    <t>IC REG BUCK BST PROG 400MA 10SON</t>
  </si>
  <si>
    <t>Texas Instruments</t>
  </si>
  <si>
    <t>TPS63900DSKR</t>
  </si>
  <si>
    <t>10-WFDFN Exposed Pad</t>
  </si>
  <si>
    <t>296-TPS63900DSKRTR-ND - Tape &amp; Reel (TR)</t>
  </si>
  <si>
    <t>Inductor</t>
  </si>
  <si>
    <t>2.2uH , 1.4A</t>
  </si>
  <si>
    <t>2.2uH for tps63900 buck boost</t>
  </si>
  <si>
    <t>LSCND1608HKT2R2MF</t>
  </si>
  <si>
    <t>587-LSCND1608HKT2R2MFTR-ND - Tape &amp; Reel (TR)</t>
  </si>
  <si>
    <t>2.2uH</t>
  </si>
  <si>
    <t>Resistor</t>
  </si>
  <si>
    <t>10 kohm , 0.33W</t>
  </si>
  <si>
    <t>Needed for pull up resistors</t>
  </si>
  <si>
    <t>Vishay Dale</t>
  </si>
  <si>
    <t>RCS040210K0JNED</t>
  </si>
  <si>
    <t>:0402</t>
  </si>
  <si>
    <t>541-2916-2-ND - Tape &amp; Reel (TR)</t>
  </si>
  <si>
    <t>10k</t>
  </si>
  <si>
    <t>100kohm, 0.1W</t>
  </si>
  <si>
    <t>for pull down resistors</t>
  </si>
  <si>
    <t>panasonic</t>
  </si>
  <si>
    <t>ERJ-2RKF1003X</t>
  </si>
  <si>
    <t>P100KLTR-ND - Tape &amp; Reel (TR)</t>
  </si>
  <si>
    <t>100k</t>
  </si>
  <si>
    <t>1kohm, 0.1W</t>
  </si>
  <si>
    <t>LED protection</t>
  </si>
  <si>
    <t>ERJ-2RKF1001X</t>
  </si>
  <si>
    <t>P1.00KLTR-ND - Tape &amp; Reel (TR)</t>
  </si>
  <si>
    <t>1k</t>
  </si>
  <si>
    <t>2.49 Mohm, 0.1W</t>
  </si>
  <si>
    <t>Battery monitor ADC</t>
  </si>
  <si>
    <t>KOA-Speer</t>
  </si>
  <si>
    <t>RK73H1ETTP2494F</t>
  </si>
  <si>
    <t>2019-RK73H1ETTP2494FTR-ND</t>
  </si>
  <si>
    <t>2.5M</t>
  </si>
  <si>
    <t>16.2kohm</t>
  </si>
  <si>
    <t>TPS63900 config3</t>
  </si>
  <si>
    <t>CRCW040216K2FKEDHP</t>
  </si>
  <si>
    <t>541-CRCW040216K2FKEDHPTR-ND</t>
  </si>
  <si>
    <t>16.2k</t>
  </si>
  <si>
    <t>330 ohm</t>
  </si>
  <si>
    <t>MCU protection, piezo buzzer</t>
  </si>
  <si>
    <t>CRCW0402330RJNEDHP</t>
  </si>
  <si>
    <t>541-CRCW0402330RJNEDHPTR-ND</t>
  </si>
  <si>
    <t>330ohm</t>
  </si>
  <si>
    <t>0 ohm</t>
  </si>
  <si>
    <t xml:space="preserve">RES 0 OHM JUMPER 1/3W </t>
  </si>
  <si>
    <t>RCS04020000Z0ED</t>
  </si>
  <si>
    <t xml:space="preserve">LED </t>
  </si>
  <si>
    <t>Vf = 1.9V</t>
  </si>
  <si>
    <t xml:space="preserve">Green LED 574nm 1.9V </t>
  </si>
  <si>
    <t>QT Brightek (QTB)</t>
  </si>
  <si>
    <t>QBLP595-AG15-2897</t>
  </si>
  <si>
    <t>1516-QBLP595-AG15-2897TR-ND - Tape &amp; Reel (TR)</t>
  </si>
  <si>
    <t>LED</t>
  </si>
  <si>
    <t xml:space="preserve">Buzzer </t>
  </si>
  <si>
    <t>74dB, supply 6mA</t>
  </si>
  <si>
    <t>BUZZER PIEZO 1~25V 7.5X7.5 SMD</t>
  </si>
  <si>
    <t>Mallory Sonalert Products Inc.</t>
  </si>
  <si>
    <t>AST0760MCTRQ</t>
  </si>
  <si>
    <t>7.5x7.5mm</t>
  </si>
  <si>
    <t>458-AST0760MCTRQTR-ND - Tape &amp; Reel (TR)</t>
  </si>
  <si>
    <t>Buzzer</t>
  </si>
  <si>
    <t>n-Mosfet</t>
  </si>
  <si>
    <t>BSS138,  0.22A, 50V</t>
  </si>
  <si>
    <t>Battery monitor switch. N-Channel 50 V 220mA (Tj) 430mW Surface Mount SOT-23</t>
  </si>
  <si>
    <t>Good-Ark Semiconductor</t>
  </si>
  <si>
    <t>BSS138</t>
  </si>
  <si>
    <t>SOT-23</t>
  </si>
  <si>
    <t>4786-BSS138TR-ND</t>
  </si>
  <si>
    <t>mosfet</t>
  </si>
  <si>
    <t>Grand Total</t>
  </si>
  <si>
    <t>(with taxes)</t>
  </si>
  <si>
    <t>EXTRA ITEMS</t>
  </si>
  <si>
    <t>AiThinker BU04</t>
  </si>
  <si>
    <t>Double Antenna UWB tarnsceiver</t>
  </si>
  <si>
    <t>Full Kit</t>
  </si>
  <si>
    <t>Aithinker</t>
  </si>
  <si>
    <t>SMD-34 compatible with DIP-16</t>
  </si>
  <si>
    <t>Bu04- Alibaba.com</t>
  </si>
  <si>
    <t>Bu04- Robu.in</t>
  </si>
  <si>
    <t>ST67W611M1</t>
  </si>
  <si>
    <t>Wireless Connectivity Module</t>
  </si>
  <si>
    <t xml:space="preserve">Wifi + BLE Coprocessor </t>
  </si>
  <si>
    <t>ST67W611M1A6BTR</t>
  </si>
  <si>
    <t>12.28 * 17.28 * 2.4 mm</t>
  </si>
  <si>
    <t>st67w611m1</t>
  </si>
  <si>
    <t>4.7uF cap</t>
  </si>
  <si>
    <t>25VDC 4.7uF</t>
  </si>
  <si>
    <t>GRM155C61E475ME15J</t>
  </si>
  <si>
    <t xml:space="preserve">Crystal oscillator </t>
  </si>
  <si>
    <t>crystal</t>
  </si>
  <si>
    <t xml:space="preserve">oscillator crystal 32MHz </t>
  </si>
  <si>
    <t>XRCGE32M000FBA1AR0</t>
  </si>
  <si>
    <t>:0806</t>
  </si>
  <si>
    <t>Mouser</t>
  </si>
  <si>
    <t>520-ECS32761210B2NTR</t>
  </si>
  <si>
    <t>Oscillator capacitor</t>
  </si>
  <si>
    <t>25V 8pF</t>
  </si>
  <si>
    <t>490-GRM0335C1E8R0BA01DTR-ND</t>
  </si>
  <si>
    <t>6pF</t>
  </si>
  <si>
    <t>2.2uF cap</t>
  </si>
  <si>
    <t>CAP CER 2.2UF 16V X5R 0402</t>
  </si>
  <si>
    <t>GRM035R61C225ME01D</t>
  </si>
  <si>
    <t>490-10695-1-ND - Cut Tape (CT)</t>
  </si>
  <si>
    <t>2.2 uF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</si>
</sst>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u/>
      <color rgb="FF0000FF"/>
    </font>
    <font>
      <u/>
      <sz val="9.0"/>
      <color rgb="FF0000FF"/>
      <name val="Roboto"/>
    </font>
    <font>
      <sz val="10.0"/>
      <color rgb="FF444444"/>
      <name val="Roboto"/>
    </font>
    <font>
      <u/>
      <color rgb="FF000000"/>
      <name val="Calibri"/>
      <scheme val="minor"/>
    </font>
    <font>
      <sz val="9.0"/>
      <color rgb="FF444444"/>
      <name val="Roboto"/>
    </font>
    <font>
      <sz val="11.0"/>
      <color rgb="FF333333"/>
      <name val="Arial"/>
    </font>
    <font>
      <u/>
      <color rgb="FF000000"/>
      <name val="Calibri"/>
      <scheme val="minor"/>
    </font>
    <font>
      <u/>
      <color rgb="FF0000FF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color rgb="FF000000"/>
      <name val="Calibri"/>
      <scheme val="minor"/>
    </font>
    <font>
      <sz val="9.0"/>
      <color rgb="FF000000"/>
      <name val="Roboto"/>
    </font>
    <font>
      <sz val="11.0"/>
      <color rgb="FF444444"/>
      <name val="Roboto"/>
    </font>
    <font>
      <b/>
      <color theme="1"/>
      <name val="Calibri"/>
      <scheme val="minor"/>
    </font>
    <font>
      <u/>
      <color rgb="FF0000FF"/>
    </font>
    <font>
      <u/>
      <color rgb="FF000000"/>
      <name val="Calibri"/>
      <scheme val="minor"/>
    </font>
    <font>
      <sz val="10.0"/>
      <color rgb="FF333333"/>
      <name val="Arial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left" readingOrder="0" vertical="top"/>
    </xf>
    <xf borderId="0" fillId="3" fontId="5" numFmtId="0" xfId="0" applyAlignment="1" applyFill="1" applyFont="1">
      <alignment horizontal="left" readingOrder="0"/>
    </xf>
    <xf borderId="0" fillId="0" fontId="6" numFmtId="0" xfId="0" applyAlignment="1" applyFont="1">
      <alignment readingOrder="0"/>
    </xf>
    <xf borderId="0" fillId="3" fontId="7" numFmtId="0" xfId="0" applyAlignment="1" applyFont="1">
      <alignment horizontal="left"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8" numFmtId="0" xfId="0" applyAlignment="1" applyFont="1">
      <alignment horizontal="left" readingOrder="0"/>
    </xf>
    <xf borderId="0" fillId="4" fontId="9" numFmtId="0" xfId="0" applyAlignment="1" applyFont="1">
      <alignment readingOrder="0"/>
    </xf>
    <xf borderId="0" fillId="4" fontId="10" numFmtId="0" xfId="0" applyAlignment="1" applyFont="1">
      <alignment readingOrder="0"/>
    </xf>
    <xf borderId="0" fillId="5" fontId="11" numFmtId="0" xfId="0" applyAlignment="1" applyFill="1" applyFont="1">
      <alignment vertical="bottom"/>
    </xf>
    <xf borderId="0" fillId="5" fontId="11" numFmtId="0" xfId="0" applyAlignment="1" applyFont="1">
      <alignment readingOrder="0" vertical="bottom"/>
    </xf>
    <xf borderId="0" fillId="5" fontId="11" numFmtId="0" xfId="0" applyAlignment="1" applyFont="1">
      <alignment vertical="bottom"/>
    </xf>
    <xf borderId="0" fillId="5" fontId="11" numFmtId="0" xfId="0" applyAlignment="1" applyFont="1">
      <alignment horizontal="right" readingOrder="0" vertical="bottom"/>
    </xf>
    <xf borderId="0" fillId="5" fontId="2" numFmtId="0" xfId="0" applyFont="1"/>
    <xf borderId="0" fillId="5" fontId="7" numFmtId="0" xfId="0" applyAlignment="1" applyFont="1">
      <alignment readingOrder="0" vertical="bottom"/>
    </xf>
    <xf borderId="0" fillId="5" fontId="12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right" readingOrder="0" vertical="bottom"/>
    </xf>
    <xf borderId="0" fillId="0" fontId="11" numFmtId="0" xfId="0" applyAlignment="1" applyFont="1">
      <alignment vertical="bottom"/>
    </xf>
    <xf borderId="0" fillId="3" fontId="7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5" fontId="14" numFmtId="0" xfId="0" applyAlignment="1" applyFont="1">
      <alignment vertical="bottom"/>
    </xf>
    <xf borderId="0" fillId="5" fontId="14" numFmtId="0" xfId="0" applyAlignment="1" applyFont="1">
      <alignment readingOrder="0" vertical="bottom"/>
    </xf>
    <xf borderId="0" fillId="5" fontId="14" numFmtId="0" xfId="0" applyAlignment="1" applyFont="1">
      <alignment horizontal="right" readingOrder="0" vertical="bottom"/>
    </xf>
    <xf borderId="0" fillId="5" fontId="15" numFmtId="0" xfId="0" applyFont="1"/>
    <xf borderId="0" fillId="5" fontId="16" numFmtId="0" xfId="0" applyAlignment="1" applyFont="1">
      <alignment readingOrder="0" vertical="bottom"/>
    </xf>
    <xf borderId="0" fillId="5" fontId="2" numFmtId="0" xfId="0" applyAlignment="1" applyFont="1">
      <alignment readingOrder="0"/>
    </xf>
    <xf borderId="0" fillId="5" fontId="17" numFmtId="0" xfId="0" applyAlignment="1" applyFont="1">
      <alignment horizontal="left" readingOrder="0"/>
    </xf>
    <xf borderId="0" fillId="5" fontId="7" numFmtId="0" xfId="0" applyAlignment="1" applyFont="1">
      <alignment horizontal="left" readingOrder="0"/>
    </xf>
    <xf borderId="0" fillId="6" fontId="18" numFmtId="0" xfId="0" applyFill="1" applyFont="1"/>
    <xf borderId="0" fillId="6" fontId="18" numFmtId="0" xfId="0" applyAlignment="1" applyFont="1">
      <alignment readingOrder="0"/>
    </xf>
    <xf borderId="0" fillId="7" fontId="2" numFmtId="0" xfId="0" applyFill="1" applyFont="1"/>
    <xf borderId="0" fillId="7" fontId="2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8" fontId="2" numFmtId="0" xfId="0" applyFont="1"/>
    <xf borderId="0" fillId="8" fontId="19" numFmtId="0" xfId="0" applyAlignment="1" applyFont="1">
      <alignment readingOrder="0"/>
    </xf>
    <xf borderId="0" fillId="9" fontId="2" numFmtId="0" xfId="0" applyFill="1" applyFont="1"/>
    <xf borderId="0" fillId="9" fontId="2" numFmtId="0" xfId="0" applyAlignment="1" applyFont="1">
      <alignment readingOrder="0"/>
    </xf>
    <xf borderId="0" fillId="9" fontId="8" numFmtId="0" xfId="0" applyAlignment="1" applyFont="1">
      <alignment horizontal="left" readingOrder="0"/>
    </xf>
    <xf borderId="0" fillId="9" fontId="20" numFmtId="0" xfId="0" applyAlignment="1" applyFont="1">
      <alignment readingOrder="0"/>
    </xf>
    <xf borderId="0" fillId="9" fontId="2" numFmtId="0" xfId="0" applyAlignment="1" applyFont="1">
      <alignment readingOrder="0"/>
    </xf>
    <xf borderId="0" fillId="9" fontId="21" numFmtId="0" xfId="0" applyAlignment="1" applyFont="1">
      <alignment horizontal="left" readingOrder="0"/>
    </xf>
    <xf borderId="0" fillId="9" fontId="22" numFmtId="0" xfId="0" applyAlignment="1" applyFont="1">
      <alignment readingOrder="0"/>
    </xf>
    <xf borderId="0" fillId="3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in/en/products/detail/good-ark-semiconductor/BSS138/18667774" TargetMode="External"/><Relationship Id="rId22" Type="http://schemas.openxmlformats.org/officeDocument/2006/relationships/hyperlink" Target="https://robu.in/product/ai-thinker-bu04-kit-ultra-uwb-development-board/" TargetMode="External"/><Relationship Id="rId21" Type="http://schemas.openxmlformats.org/officeDocument/2006/relationships/hyperlink" Target="https://www.alibaba.com/product-detail/Ai-Thinker-UWB-indoor-bidirectional-ranging_1601270808519.html?spm=a2747.product_manager.0.0.7d5371d2OLAcoo" TargetMode="External"/><Relationship Id="rId24" Type="http://schemas.openxmlformats.org/officeDocument/2006/relationships/hyperlink" Target="https://www.mouser.in/ProductDetail/Murata-Electronics/XRCGE32M000FBA1AR0?qs=wT7LY0lnAe3g8bsvlH9OVQ%3D%3D" TargetMode="External"/><Relationship Id="rId23" Type="http://schemas.openxmlformats.org/officeDocument/2006/relationships/hyperlink" Target="https://www.st.com/en/wireless-connectivity/st67w611m1.html" TargetMode="External"/><Relationship Id="rId1" Type="http://schemas.openxmlformats.org/officeDocument/2006/relationships/hyperlink" Target="https://www.st.com/en/evaluation-tools/nucleo-wba55cg.html" TargetMode="External"/><Relationship Id="rId2" Type="http://schemas.openxmlformats.org/officeDocument/2006/relationships/hyperlink" Target="https://www.digikey.in/en/products/detail/qorvo/DWM3000TR13/24367320" TargetMode="External"/><Relationship Id="rId3" Type="http://schemas.openxmlformats.org/officeDocument/2006/relationships/hyperlink" Target="https://www.digikey.in/en/products/detail/tdk-corporation/C3216X5R1E476M160AC/2792260" TargetMode="External"/><Relationship Id="rId4" Type="http://schemas.openxmlformats.org/officeDocument/2006/relationships/hyperlink" Target="https://www.digikey.in/en/supplier-centers/samsung-electro-mechanics-america" TargetMode="External"/><Relationship Id="rId9" Type="http://schemas.openxmlformats.org/officeDocument/2006/relationships/hyperlink" Target="https://www.digikey.in/en/products/detail/texas-instruments/TPS63900DSKR/13535540" TargetMode="External"/><Relationship Id="rId26" Type="http://schemas.openxmlformats.org/officeDocument/2006/relationships/hyperlink" Target="https://www.digikey.in/en/products/detail/murata-electronics/GRM155R61C225KE11D/4905134" TargetMode="External"/><Relationship Id="rId25" Type="http://schemas.openxmlformats.org/officeDocument/2006/relationships/hyperlink" Target="https://www.digikey.in/en/products/detail/murata-electronics/GRM0335C1E8R0BA01D/4358659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www.digikey.in/en/products/detail/samsung-electro-mechanics/CL21A226MAYNNWE/16344162" TargetMode="External"/><Relationship Id="rId6" Type="http://schemas.openxmlformats.org/officeDocument/2006/relationships/hyperlink" Target="https://www.digikey.in/en/products/detail/taiyo-yuden/emk063bbj474kplf/9859885" TargetMode="External"/><Relationship Id="rId7" Type="http://schemas.openxmlformats.org/officeDocument/2006/relationships/hyperlink" Target="https://www.digikey.in/en/products/detail/murata-electronics/grm033r61e224ke01d/10691187" TargetMode="External"/><Relationship Id="rId8" Type="http://schemas.openxmlformats.org/officeDocument/2006/relationships/hyperlink" Target="https://www.digikey.in/en/products/detail/murata-electronics/grm188r61e106ka73d/9867922" TargetMode="External"/><Relationship Id="rId11" Type="http://schemas.openxmlformats.org/officeDocument/2006/relationships/hyperlink" Target="https://www.digikey.in/en/products/detail/vishay-dale/RCS040210K0JNED/5867062" TargetMode="External"/><Relationship Id="rId10" Type="http://schemas.openxmlformats.org/officeDocument/2006/relationships/hyperlink" Target="https://www.digikey.in/en/products/detail/taiyo-yuden/LSCND1608HKT2R2MF/22576654" TargetMode="External"/><Relationship Id="rId13" Type="http://schemas.openxmlformats.org/officeDocument/2006/relationships/hyperlink" Target="https://www.digikey.in/en/products/detail/panasonic-industry/ERJ-2RKF1001X/79729" TargetMode="External"/><Relationship Id="rId12" Type="http://schemas.openxmlformats.org/officeDocument/2006/relationships/hyperlink" Target="https://www.digikey.in/en/products/detail/panasonic-industry/ERJ-2RKF1003X/192081?s=N4IgTCBcDaIAoEYAMSDSAZAKgJQLQDkAREAXQF8g" TargetMode="External"/><Relationship Id="rId15" Type="http://schemas.openxmlformats.org/officeDocument/2006/relationships/hyperlink" Target="https://www.digikey.in/en/products/detail/vishay-dale/CRCW040216K2FKEDHP/2225501" TargetMode="External"/><Relationship Id="rId14" Type="http://schemas.openxmlformats.org/officeDocument/2006/relationships/hyperlink" Target="https://www.digikey.in/en/products/detail/koa-speer-electronics-inc/RK73H1ETTP2494F/9844658" TargetMode="External"/><Relationship Id="rId17" Type="http://schemas.openxmlformats.org/officeDocument/2006/relationships/hyperlink" Target="https://www.digikey.in/en/products/detail/vishay-dale/RCS04020000Z0ED/5867023" TargetMode="External"/><Relationship Id="rId16" Type="http://schemas.openxmlformats.org/officeDocument/2006/relationships/hyperlink" Target="https://www.digikey.in/en/products/detail/vishay-dale/CRCW0402330RJNEDHP/2225772" TargetMode="External"/><Relationship Id="rId19" Type="http://schemas.openxmlformats.org/officeDocument/2006/relationships/hyperlink" Target="https://www.digikey.in/en/products/detail/mallory-sonalert-products-inc/AST0760MCTRQ/11567566" TargetMode="External"/><Relationship Id="rId18" Type="http://schemas.openxmlformats.org/officeDocument/2006/relationships/hyperlink" Target="https://www.digikey.in/en/products/detail/qt-brightek-qtb/QBLP595-AG15-2897/170493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9.43"/>
    <col customWidth="1" min="3" max="3" width="28.71"/>
    <col customWidth="1" min="4" max="4" width="29.86"/>
    <col customWidth="1" min="5" max="5" width="24.29"/>
    <col customWidth="1" min="6" max="6" width="30.0"/>
    <col customWidth="1" min="7" max="7" width="27.43"/>
    <col customWidth="1" min="8" max="8" width="10.0"/>
    <col customWidth="1" min="9" max="9" width="15.0"/>
    <col customWidth="1" min="10" max="10" width="12.0"/>
    <col customWidth="1" min="11" max="11" width="18.0"/>
    <col customWidth="1" min="12" max="12" width="48.0"/>
    <col customWidth="1" min="13" max="13" width="19.43"/>
    <col customWidth="1" min="14" max="14" width="25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C2" s="3"/>
      <c r="D2" s="3"/>
      <c r="F2" s="3"/>
      <c r="G2" s="3"/>
      <c r="I2" s="3"/>
      <c r="J2" s="3"/>
      <c r="K2" s="3"/>
      <c r="L2" s="3"/>
      <c r="M2" s="4"/>
    </row>
    <row r="3">
      <c r="A3" s="5">
        <v>1.0</v>
      </c>
      <c r="B3" s="5" t="s">
        <v>14</v>
      </c>
      <c r="C3" s="3" t="s">
        <v>15</v>
      </c>
      <c r="D3" s="3" t="s">
        <v>16</v>
      </c>
      <c r="E3" s="5" t="s">
        <v>17</v>
      </c>
      <c r="F3" s="3" t="s">
        <v>18</v>
      </c>
      <c r="G3" s="3" t="s">
        <v>19</v>
      </c>
      <c r="H3" s="5">
        <v>1.0</v>
      </c>
      <c r="I3" s="3" t="s">
        <v>20</v>
      </c>
      <c r="J3" s="3" t="s">
        <v>21</v>
      </c>
      <c r="K3" s="3" t="s">
        <v>17</v>
      </c>
      <c r="L3" s="3" t="s">
        <v>21</v>
      </c>
      <c r="M3" s="6" t="s">
        <v>22</v>
      </c>
    </row>
    <row r="4">
      <c r="A4" s="5">
        <v>2.0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>
        <v>1.0</v>
      </c>
      <c r="I4" s="7">
        <v>2223.27</v>
      </c>
      <c r="J4" s="5">
        <f t="shared" ref="J4:J16" si="1">H4*I4</f>
        <v>2223.27</v>
      </c>
      <c r="K4" s="8" t="s">
        <v>29</v>
      </c>
      <c r="L4" s="3" t="s">
        <v>30</v>
      </c>
      <c r="M4" s="6" t="s">
        <v>31</v>
      </c>
    </row>
    <row r="5">
      <c r="A5" s="5">
        <v>3.0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>
        <v>6.0</v>
      </c>
      <c r="I5" s="3">
        <v>87.89</v>
      </c>
      <c r="J5" s="5">
        <f t="shared" si="1"/>
        <v>527.34</v>
      </c>
      <c r="K5" s="3" t="s">
        <v>29</v>
      </c>
      <c r="L5" s="3" t="s">
        <v>38</v>
      </c>
      <c r="M5" s="6" t="s">
        <v>39</v>
      </c>
    </row>
    <row r="6">
      <c r="A6" s="5">
        <v>4.0</v>
      </c>
      <c r="C6" s="3" t="s">
        <v>40</v>
      </c>
      <c r="D6" s="3" t="s">
        <v>41</v>
      </c>
      <c r="E6" s="9" t="s">
        <v>42</v>
      </c>
      <c r="F6" s="10" t="s">
        <v>43</v>
      </c>
      <c r="G6" s="11" t="s">
        <v>44</v>
      </c>
      <c r="H6" s="3">
        <v>1.0</v>
      </c>
      <c r="I6" s="3">
        <v>28.35</v>
      </c>
      <c r="J6" s="5">
        <f t="shared" si="1"/>
        <v>28.35</v>
      </c>
      <c r="K6" s="3" t="s">
        <v>29</v>
      </c>
      <c r="L6" s="12" t="s">
        <v>45</v>
      </c>
      <c r="M6" s="6" t="s">
        <v>46</v>
      </c>
    </row>
    <row r="7">
      <c r="A7" s="13">
        <v>5.0</v>
      </c>
      <c r="B7" s="14"/>
      <c r="C7" s="13" t="s">
        <v>47</v>
      </c>
      <c r="D7" s="13" t="s">
        <v>48</v>
      </c>
      <c r="E7" s="13" t="s">
        <v>49</v>
      </c>
      <c r="F7" s="15" t="s">
        <v>50</v>
      </c>
      <c r="G7" s="16" t="s">
        <v>51</v>
      </c>
      <c r="H7" s="13">
        <v>1.0</v>
      </c>
      <c r="I7" s="13">
        <v>32.13</v>
      </c>
      <c r="J7" s="5">
        <f t="shared" si="1"/>
        <v>32.13</v>
      </c>
      <c r="K7" s="13" t="s">
        <v>29</v>
      </c>
      <c r="L7" s="13" t="s">
        <v>52</v>
      </c>
      <c r="M7" s="17" t="s">
        <v>53</v>
      </c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>
        <v>6.0</v>
      </c>
      <c r="B8" s="14"/>
      <c r="C8" s="13" t="s">
        <v>54</v>
      </c>
      <c r="D8" s="13" t="s">
        <v>55</v>
      </c>
      <c r="E8" s="13" t="s">
        <v>56</v>
      </c>
      <c r="F8" s="15" t="s">
        <v>57</v>
      </c>
      <c r="G8" s="16" t="s">
        <v>51</v>
      </c>
      <c r="H8" s="13">
        <v>1.0</v>
      </c>
      <c r="I8" s="13">
        <v>9.45</v>
      </c>
      <c r="J8" s="5">
        <f t="shared" si="1"/>
        <v>9.45</v>
      </c>
      <c r="K8" s="13" t="s">
        <v>29</v>
      </c>
      <c r="L8" s="13" t="s">
        <v>58</v>
      </c>
      <c r="M8" s="17" t="s">
        <v>59</v>
      </c>
      <c r="N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>
        <v>7.0</v>
      </c>
      <c r="B9" s="14"/>
      <c r="C9" s="13" t="s">
        <v>60</v>
      </c>
      <c r="D9" s="13" t="s">
        <v>61</v>
      </c>
      <c r="E9" s="13" t="s">
        <v>56</v>
      </c>
      <c r="F9" s="15" t="s">
        <v>62</v>
      </c>
      <c r="G9" s="16" t="s">
        <v>63</v>
      </c>
      <c r="H9" s="13">
        <v>2.0</v>
      </c>
      <c r="I9" s="13">
        <v>24.57</v>
      </c>
      <c r="J9" s="5">
        <f t="shared" si="1"/>
        <v>49.14</v>
      </c>
      <c r="K9" s="13" t="s">
        <v>29</v>
      </c>
      <c r="L9" s="13" t="s">
        <v>64</v>
      </c>
      <c r="M9" s="17" t="s">
        <v>65</v>
      </c>
      <c r="N9" s="13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5">
        <v>8.0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3">
        <v>1.0</v>
      </c>
      <c r="I10" s="3">
        <v>258.96</v>
      </c>
      <c r="J10" s="5">
        <f t="shared" si="1"/>
        <v>258.96</v>
      </c>
      <c r="K10" s="3" t="s">
        <v>29</v>
      </c>
      <c r="L10" s="3" t="s">
        <v>72</v>
      </c>
      <c r="M10" s="6" t="s">
        <v>67</v>
      </c>
    </row>
    <row r="11">
      <c r="A11" s="3">
        <v>9.0</v>
      </c>
      <c r="B11" s="3" t="s">
        <v>73</v>
      </c>
      <c r="C11" s="3" t="s">
        <v>74</v>
      </c>
      <c r="D11" s="3" t="s">
        <v>75</v>
      </c>
      <c r="E11" s="3" t="s">
        <v>49</v>
      </c>
      <c r="F11" s="12" t="s">
        <v>76</v>
      </c>
      <c r="G11" s="3" t="s">
        <v>63</v>
      </c>
      <c r="H11" s="3">
        <v>1.0</v>
      </c>
      <c r="I11" s="3">
        <v>24.57</v>
      </c>
      <c r="J11" s="5">
        <f t="shared" si="1"/>
        <v>24.57</v>
      </c>
      <c r="K11" s="3" t="s">
        <v>29</v>
      </c>
      <c r="L11" s="12" t="s">
        <v>77</v>
      </c>
      <c r="M11" s="6" t="s">
        <v>78</v>
      </c>
    </row>
    <row r="12">
      <c r="A12" s="3">
        <v>10.0</v>
      </c>
      <c r="B12" s="3" t="s">
        <v>79</v>
      </c>
      <c r="C12" s="3" t="s">
        <v>80</v>
      </c>
      <c r="D12" s="3" t="s">
        <v>81</v>
      </c>
      <c r="E12" s="3" t="s">
        <v>82</v>
      </c>
      <c r="F12" s="3" t="s">
        <v>83</v>
      </c>
      <c r="G12" s="3" t="s">
        <v>84</v>
      </c>
      <c r="H12" s="3">
        <v>1.0</v>
      </c>
      <c r="I12" s="3">
        <v>12.29</v>
      </c>
      <c r="J12" s="5">
        <f t="shared" si="1"/>
        <v>12.29</v>
      </c>
      <c r="K12" s="3" t="s">
        <v>29</v>
      </c>
      <c r="L12" s="3" t="s">
        <v>85</v>
      </c>
      <c r="M12" s="6" t="s">
        <v>86</v>
      </c>
    </row>
    <row r="13">
      <c r="C13" s="3" t="s">
        <v>87</v>
      </c>
      <c r="D13" s="3" t="s">
        <v>88</v>
      </c>
      <c r="E13" s="3" t="s">
        <v>89</v>
      </c>
      <c r="F13" s="3" t="s">
        <v>90</v>
      </c>
      <c r="G13" s="3" t="s">
        <v>84</v>
      </c>
      <c r="H13" s="3">
        <v>3.0</v>
      </c>
      <c r="I13" s="3">
        <v>9.45</v>
      </c>
      <c r="J13" s="5">
        <f t="shared" si="1"/>
        <v>28.35</v>
      </c>
      <c r="K13" s="3" t="s">
        <v>29</v>
      </c>
      <c r="L13" s="12" t="s">
        <v>91</v>
      </c>
      <c r="M13" s="6" t="s">
        <v>92</v>
      </c>
    </row>
    <row r="14">
      <c r="C14" s="3" t="s">
        <v>93</v>
      </c>
      <c r="D14" s="3" t="s">
        <v>94</v>
      </c>
      <c r="E14" s="3" t="s">
        <v>89</v>
      </c>
      <c r="F14" s="3" t="s">
        <v>95</v>
      </c>
      <c r="G14" s="3" t="s">
        <v>84</v>
      </c>
      <c r="H14" s="3">
        <v>2.0</v>
      </c>
      <c r="I14" s="3">
        <v>9.45</v>
      </c>
      <c r="J14" s="5">
        <f t="shared" si="1"/>
        <v>18.9</v>
      </c>
      <c r="K14" s="3" t="s">
        <v>29</v>
      </c>
      <c r="L14" s="12" t="s">
        <v>96</v>
      </c>
      <c r="M14" s="6" t="s">
        <v>97</v>
      </c>
    </row>
    <row r="15">
      <c r="A15" s="18"/>
      <c r="B15" s="18"/>
      <c r="C15" s="19" t="s">
        <v>98</v>
      </c>
      <c r="D15" s="19" t="s">
        <v>99</v>
      </c>
      <c r="E15" s="19" t="s">
        <v>100</v>
      </c>
      <c r="F15" s="19" t="s">
        <v>101</v>
      </c>
      <c r="G15" s="20" t="s">
        <v>84</v>
      </c>
      <c r="H15" s="21">
        <v>2.0</v>
      </c>
      <c r="I15" s="19">
        <v>9.45</v>
      </c>
      <c r="J15" s="22">
        <f t="shared" si="1"/>
        <v>18.9</v>
      </c>
      <c r="K15" s="20" t="s">
        <v>29</v>
      </c>
      <c r="L15" s="23" t="s">
        <v>102</v>
      </c>
      <c r="M15" s="24" t="s">
        <v>103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5"/>
      <c r="B16" s="25"/>
      <c r="C16" s="26" t="s">
        <v>104</v>
      </c>
      <c r="D16" s="26" t="s">
        <v>105</v>
      </c>
      <c r="E16" s="26" t="s">
        <v>82</v>
      </c>
      <c r="F16" s="26" t="s">
        <v>106</v>
      </c>
      <c r="G16" s="26" t="s">
        <v>84</v>
      </c>
      <c r="H16" s="27">
        <v>1.0</v>
      </c>
      <c r="I16" s="26">
        <v>9.45</v>
      </c>
      <c r="J16" s="5">
        <f t="shared" si="1"/>
        <v>9.45</v>
      </c>
      <c r="K16" s="28" t="s">
        <v>29</v>
      </c>
      <c r="L16" s="29" t="s">
        <v>107</v>
      </c>
      <c r="M16" s="30" t="s">
        <v>108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31"/>
      <c r="B17" s="31"/>
      <c r="C17" s="32" t="s">
        <v>109</v>
      </c>
      <c r="D17" s="32" t="s">
        <v>110</v>
      </c>
      <c r="E17" s="32" t="s">
        <v>82</v>
      </c>
      <c r="F17" s="32" t="s">
        <v>111</v>
      </c>
      <c r="G17" s="32" t="s">
        <v>84</v>
      </c>
      <c r="H17" s="33">
        <v>1.0</v>
      </c>
      <c r="I17" s="32"/>
      <c r="J17" s="34"/>
      <c r="K17" s="32" t="s">
        <v>29</v>
      </c>
      <c r="L17" s="35" t="s">
        <v>112</v>
      </c>
      <c r="M17" s="24" t="s">
        <v>113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2" t="s">
        <v>114</v>
      </c>
      <c r="D18" s="32" t="s">
        <v>115</v>
      </c>
      <c r="E18" s="32" t="s">
        <v>82</v>
      </c>
      <c r="F18" s="32" t="s">
        <v>116</v>
      </c>
      <c r="G18" s="32" t="s">
        <v>84</v>
      </c>
      <c r="H18" s="33">
        <v>2.0</v>
      </c>
      <c r="I18" s="32"/>
      <c r="J18" s="34"/>
      <c r="K18" s="32" t="s">
        <v>29</v>
      </c>
      <c r="L18" s="35" t="s">
        <v>116</v>
      </c>
      <c r="M18" s="24" t="s">
        <v>114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">
        <v>11.0</v>
      </c>
      <c r="B19" s="3" t="s">
        <v>117</v>
      </c>
      <c r="C19" s="3" t="s">
        <v>118</v>
      </c>
      <c r="D19" s="10" t="s">
        <v>119</v>
      </c>
      <c r="E19" s="3" t="s">
        <v>120</v>
      </c>
      <c r="F19" s="3" t="s">
        <v>121</v>
      </c>
      <c r="G19" s="3" t="s">
        <v>84</v>
      </c>
      <c r="H19" s="3">
        <v>2.0</v>
      </c>
      <c r="I19" s="3">
        <v>22.68</v>
      </c>
      <c r="J19" s="5">
        <f t="shared" ref="J19:J20" si="2">H19*I19</f>
        <v>45.36</v>
      </c>
      <c r="K19" s="28" t="s">
        <v>29</v>
      </c>
      <c r="L19" s="12" t="s">
        <v>122</v>
      </c>
      <c r="M19" s="30" t="s">
        <v>123</v>
      </c>
    </row>
    <row r="20">
      <c r="A20" s="3">
        <v>12.0</v>
      </c>
      <c r="B20" s="3" t="s">
        <v>124</v>
      </c>
      <c r="C20" s="3" t="s">
        <v>125</v>
      </c>
      <c r="D20" s="10" t="s">
        <v>126</v>
      </c>
      <c r="E20" s="3" t="s">
        <v>127</v>
      </c>
      <c r="F20" s="3" t="s">
        <v>128</v>
      </c>
      <c r="G20" s="3" t="s">
        <v>129</v>
      </c>
      <c r="H20" s="3">
        <v>1.0</v>
      </c>
      <c r="I20" s="3">
        <v>225.88</v>
      </c>
      <c r="J20" s="5">
        <f t="shared" si="2"/>
        <v>225.88</v>
      </c>
      <c r="K20" s="3" t="s">
        <v>29</v>
      </c>
      <c r="L20" s="12" t="s">
        <v>130</v>
      </c>
      <c r="M20" s="30" t="s">
        <v>131</v>
      </c>
    </row>
    <row r="21">
      <c r="A21" s="36">
        <v>13.0</v>
      </c>
      <c r="B21" s="36" t="s">
        <v>132</v>
      </c>
      <c r="C21" s="36" t="s">
        <v>133</v>
      </c>
      <c r="D21" s="37" t="s">
        <v>134</v>
      </c>
      <c r="E21" s="36" t="s">
        <v>135</v>
      </c>
      <c r="F21" s="36" t="s">
        <v>136</v>
      </c>
      <c r="G21" s="36" t="s">
        <v>137</v>
      </c>
      <c r="H21" s="36">
        <v>1.0</v>
      </c>
      <c r="I21" s="36"/>
      <c r="J21" s="22"/>
      <c r="K21" s="36"/>
      <c r="L21" s="38" t="s">
        <v>138</v>
      </c>
      <c r="M21" s="24" t="s">
        <v>139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I22" s="39" t="s">
        <v>140</v>
      </c>
      <c r="J22" s="39">
        <f>SUM(J4:J21)</f>
        <v>3512.34</v>
      </c>
    </row>
    <row r="23">
      <c r="I23" s="40" t="s">
        <v>141</v>
      </c>
      <c r="J23" s="39"/>
    </row>
    <row r="26">
      <c r="A26" s="41"/>
      <c r="B26" s="42" t="s">
        <v>142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3">
        <v>13.0</v>
      </c>
      <c r="B27" s="43" t="s">
        <v>143</v>
      </c>
      <c r="C27" s="43" t="s">
        <v>144</v>
      </c>
      <c r="D27" s="43" t="s">
        <v>145</v>
      </c>
      <c r="E27" s="43" t="s">
        <v>146</v>
      </c>
      <c r="F27" s="43"/>
      <c r="G27" s="43" t="s">
        <v>147</v>
      </c>
      <c r="H27" s="44"/>
      <c r="I27" s="44"/>
      <c r="J27" s="44"/>
      <c r="K27" s="44"/>
      <c r="L27" s="44"/>
      <c r="M27" s="45" t="s">
        <v>148</v>
      </c>
      <c r="N27" s="45" t="s">
        <v>149</v>
      </c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43">
        <v>14.0</v>
      </c>
      <c r="B28" s="43" t="s">
        <v>150</v>
      </c>
      <c r="C28" s="43" t="s">
        <v>151</v>
      </c>
      <c r="D28" s="43" t="s">
        <v>152</v>
      </c>
      <c r="E28" s="43" t="s">
        <v>17</v>
      </c>
      <c r="F28" s="43" t="s">
        <v>153</v>
      </c>
      <c r="G28" s="43" t="s">
        <v>154</v>
      </c>
      <c r="H28" s="43">
        <v>1.0</v>
      </c>
      <c r="I28" s="43" t="s">
        <v>21</v>
      </c>
      <c r="J28" s="43" t="s">
        <v>21</v>
      </c>
      <c r="K28" s="43" t="s">
        <v>17</v>
      </c>
      <c r="L28" s="43" t="s">
        <v>21</v>
      </c>
      <c r="M28" s="45" t="s">
        <v>155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>
      <c r="A68" s="46">
        <v>5.0</v>
      </c>
      <c r="B68" s="46"/>
      <c r="C68" s="47" t="s">
        <v>156</v>
      </c>
      <c r="D68" s="47" t="s">
        <v>157</v>
      </c>
      <c r="E68" s="47" t="s">
        <v>56</v>
      </c>
      <c r="F68" s="48" t="s">
        <v>158</v>
      </c>
      <c r="G68" s="49" t="s">
        <v>84</v>
      </c>
      <c r="H68" s="47">
        <v>1.0</v>
      </c>
      <c r="I68" s="46"/>
      <c r="J68" s="46"/>
      <c r="K68" s="47"/>
      <c r="L68" s="46"/>
      <c r="M68" s="50"/>
      <c r="N68" s="47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>
        <v>9.0</v>
      </c>
      <c r="B69" s="47" t="s">
        <v>159</v>
      </c>
      <c r="C69" s="47" t="s">
        <v>160</v>
      </c>
      <c r="D69" s="51" t="s">
        <v>161</v>
      </c>
      <c r="E69" s="47" t="s">
        <v>56</v>
      </c>
      <c r="F69" s="47" t="s">
        <v>162</v>
      </c>
      <c r="G69" s="47" t="s">
        <v>163</v>
      </c>
      <c r="H69" s="47">
        <v>1.0</v>
      </c>
      <c r="I69" s="47">
        <v>37.0</v>
      </c>
      <c r="J69" s="47">
        <v>37.0</v>
      </c>
      <c r="K69" s="47" t="s">
        <v>164</v>
      </c>
      <c r="L69" s="47" t="s">
        <v>165</v>
      </c>
      <c r="M69" s="52" t="s">
        <v>160</v>
      </c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>
        <v>10.0</v>
      </c>
      <c r="B70" s="46"/>
      <c r="C70" s="47" t="s">
        <v>166</v>
      </c>
      <c r="D70" s="47" t="s">
        <v>167</v>
      </c>
      <c r="E70" s="47" t="s">
        <v>56</v>
      </c>
      <c r="F70" s="47" t="s">
        <v>168</v>
      </c>
      <c r="G70" s="47" t="s">
        <v>51</v>
      </c>
      <c r="H70" s="47">
        <v>2.0</v>
      </c>
      <c r="I70" s="47">
        <v>9.3</v>
      </c>
      <c r="J70" s="46"/>
      <c r="K70" s="46"/>
      <c r="L70" s="46"/>
      <c r="M70" s="52" t="s">
        <v>169</v>
      </c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>
        <v>6.0</v>
      </c>
      <c r="B71" s="46"/>
      <c r="C71" s="47" t="s">
        <v>170</v>
      </c>
      <c r="D71" s="12" t="s">
        <v>171</v>
      </c>
      <c r="E71" s="47" t="s">
        <v>56</v>
      </c>
      <c r="F71" s="53" t="s">
        <v>172</v>
      </c>
      <c r="G71" s="49" t="s">
        <v>84</v>
      </c>
      <c r="H71" s="47">
        <v>1.0</v>
      </c>
      <c r="I71" s="47">
        <v>15.12</v>
      </c>
      <c r="J71" s="47">
        <v>15.12</v>
      </c>
      <c r="K71" s="47" t="s">
        <v>29</v>
      </c>
      <c r="L71" s="12" t="s">
        <v>173</v>
      </c>
      <c r="M71" s="52" t="s">
        <v>174</v>
      </c>
      <c r="N71" s="47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hyperlinks>
    <hyperlink r:id="rId1" ref="M3"/>
    <hyperlink r:id="rId2" ref="M4"/>
    <hyperlink r:id="rId3" ref="M5"/>
    <hyperlink r:id="rId4" ref="E6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7"/>
    <hyperlink r:id="rId22" ref="N27"/>
    <hyperlink r:id="rId23" location="overview" ref="M28"/>
    <hyperlink r:id="rId24" ref="M69"/>
    <hyperlink r:id="rId25" ref="M70"/>
    <hyperlink r:id="rId26" ref="M71"/>
  </hyperlinks>
  <printOptions/>
  <pageMargins bottom="1.0" footer="0.0" header="0.0" left="0.75" right="0.75" top="1.0"/>
  <pageSetup orientation="landscape"/>
  <drawing r:id="rId2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2026-05-27T16:44:01Z</dcterms:created>
  <dc:creator>openpyxl</dc:creator>
</cp:coreProperties>
</file>